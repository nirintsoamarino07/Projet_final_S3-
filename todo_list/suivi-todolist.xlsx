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_rels/pivotTable1.xml.rels" ContentType="application/vnd.openxmlformats-package.relationships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ecap" sheetId="1" state="visible" r:id="rId3"/>
    <sheet name="liste des taches" sheetId="2" state="visible" r:id="rId4"/>
    <sheet name="avancement projet" sheetId="3" state="visible" r:id="rId5"/>
    <sheet name="detail" sheetId="4" state="visible" r:id="rId6"/>
  </sheets>
  <calcPr iterateCount="100" refMode="A1" iterate="false" iterateDelta="0.0001"/>
  <pivotCaches>
    <pivotCache cacheId="1" r:id="rId8"/>
  </pivotCaches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<sst xmlns="http://schemas.openxmlformats.org/spreadsheetml/2006/main" count="183" uniqueCount="73">
  <si>
    <t xml:space="preserve">Avancement</t>
  </si>
  <si>
    <t xml:space="preserve">Qui</t>
  </si>
  <si>
    <t xml:space="preserve">Somme de Estimation</t>
  </si>
  <si>
    <t xml:space="preserve">Lofo</t>
  </si>
  <si>
    <t xml:space="preserve">Voara</t>
  </si>
  <si>
    <t xml:space="preserve">Total Result</t>
  </si>
  <si>
    <t xml:space="preserve">Ligne</t>
  </si>
  <si>
    <t xml:space="preserve">Catégorie</t>
  </si>
  <si>
    <t xml:space="preserve">Module</t>
  </si>
  <si>
    <t xml:space="preserve">Nom page</t>
  </si>
  <si>
    <t xml:space="preserve">Description</t>
  </si>
  <si>
    <t xml:space="preserve">Type</t>
  </si>
  <si>
    <t xml:space="preserve">Estimation</t>
  </si>
  <si>
    <t xml:space="preserve">Temps passé</t>
  </si>
  <si>
    <t xml:space="preserve">Reste à faire</t>
  </si>
  <si>
    <t xml:space="preserve">Status</t>
  </si>
  <si>
    <t xml:space="preserve">Web</t>
  </si>
  <si>
    <t xml:space="preserve">Login</t>
  </si>
  <si>
    <t xml:space="preserve">base.sql</t>
  </si>
  <si>
    <t xml:space="preserve">Création table BNGRC_user</t>
  </si>
  <si>
    <t xml:space="preserve">Base</t>
  </si>
  <si>
    <t xml:space="preserve">routes.php</t>
  </si>
  <si>
    <t xml:space="preserve">route pour showLogin et postLogin</t>
  </si>
  <si>
    <t xml:space="preserve">MVC</t>
  </si>
  <si>
    <t xml:space="preserve">LoginController.php</t>
  </si>
  <si>
    <t xml:space="preserve">showLogin</t>
  </si>
  <si>
    <t xml:space="preserve">Fonction</t>
  </si>
  <si>
    <t xml:space="preserve">postLogin</t>
  </si>
  <si>
    <t xml:space="preserve">Validator.php</t>
  </si>
  <si>
    <t xml:space="preserve">validator pour valider les champs</t>
  </si>
  <si>
    <t xml:space="preserve">Joshua</t>
  </si>
  <si>
    <t xml:space="preserve">UserRepositoryphp</t>
  </si>
  <si>
    <t xml:space="preserve">insertOrFindByEmail</t>
  </si>
  <si>
    <t xml:space="preserve">login.php</t>
  </si>
  <si>
    <t xml:space="preserve">formulaire et bouton connexion</t>
  </si>
  <si>
    <t xml:space="preserve">Affichage</t>
  </si>
  <si>
    <t xml:space="preserve">css</t>
  </si>
  <si>
    <t xml:space="preserve">design de la page</t>
  </si>
  <si>
    <t xml:space="preserve">dashboard</t>
  </si>
  <si>
    <t xml:space="preserve">Création table BNGRC_ville, BNGRC_besoin, BNGRC_besoin_categorie, BNGRC_donation</t>
  </si>
  <si>
    <t xml:space="preserve">route vers showDashboard</t>
  </si>
  <si>
    <t xml:space="preserve">DashboardController.php</t>
  </si>
  <si>
    <t xml:space="preserve">showDashboard</t>
  </si>
  <si>
    <t xml:space="preserve">DashboardRepository.php</t>
  </si>
  <si>
    <t xml:space="preserve">getDashboardData</t>
  </si>
  <si>
    <t xml:space="preserve">dashboard.php</t>
  </si>
  <si>
    <t xml:space="preserve">affichage des données du tableau de bord</t>
  </si>
  <si>
    <t xml:space="preserve">besoin</t>
  </si>
  <si>
    <t xml:space="preserve">route pour showinsererBesoin et vers traitrement insertion</t>
  </si>
  <si>
    <t xml:space="preserve">BesoinController.php</t>
  </si>
  <si>
    <t xml:space="preserve">showinsererBesoin </t>
  </si>
  <si>
    <t xml:space="preserve">insererBesoin pour appeler la fonction dans BesoinRepository</t>
  </si>
  <si>
    <t xml:space="preserve">BesoinRepository.php</t>
  </si>
  <si>
    <t xml:space="preserve">insererBesoin pour insérer les besoin dans la table BNGRC_besoin</t>
  </si>
  <si>
    <t xml:space="preserve">insererBesoin.php</t>
  </si>
  <si>
    <t xml:space="preserve">formulaire et bouton d’insértion de besoin</t>
  </si>
  <si>
    <t xml:space="preserve">desgin de la page</t>
  </si>
  <si>
    <t xml:space="preserve">don</t>
  </si>
  <si>
    <t xml:space="preserve">route vers page insererDon et vers traitement insertion </t>
  </si>
  <si>
    <t xml:space="preserve">DonController.php</t>
  </si>
  <si>
    <t xml:space="preserve">showinsererDon</t>
  </si>
  <si>
    <t xml:space="preserve">insererDon.php pour appeler la fonction dans DonRepository</t>
  </si>
  <si>
    <t xml:space="preserve">DonRepository.php</t>
  </si>
  <si>
    <t xml:space="preserve">insererDon.php pour insérer les don dans la table BNGRC_don</t>
  </si>
  <si>
    <t xml:space="preserve">insererDon.php</t>
  </si>
  <si>
    <t xml:space="preserve">formulaire et bouton d’insértion de don</t>
  </si>
  <si>
    <t xml:space="preserve">estimation total</t>
  </si>
  <si>
    <t xml:space="preserve">temps passé total</t>
  </si>
  <si>
    <t xml:space="preserve">reste à faire total</t>
  </si>
  <si>
    <t xml:space="preserve">avancement</t>
  </si>
  <si>
    <t xml:space="preserve">dépassement</t>
  </si>
  <si>
    <t xml:space="preserve">heure</t>
  </si>
  <si>
    <t xml:space="preserve">Total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</si>
</sst>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\ %"/>
    <numFmt numFmtId="166" formatCode="0\ %"/>
    <numFmt numFmtId="167" formatCode="d/m"/>
  </numFmts>
  <fonts count="10">
    <font>
      <sz val="12"/>
      <color theme="1"/>
      <name val="Aptos Narrow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Aptos Narrow"/>
      <family val="0"/>
      <charset val="1"/>
    </font>
    <font>
      <b val="true"/>
      <sz val="11"/>
      <color theme="1"/>
      <name val="Arial"/>
      <family val="0"/>
      <charset val="1"/>
    </font>
    <font>
      <sz val="11"/>
      <color theme="1"/>
      <name val="Aptos Narrow"/>
      <family val="0"/>
      <charset val="1"/>
    </font>
    <font>
      <b val="true"/>
      <sz val="12"/>
      <color theme="1"/>
      <name val="Arial"/>
      <family val="0"/>
      <charset val="1"/>
    </font>
    <font>
      <sz val="11"/>
      <color theme="1"/>
      <name val="Arial"/>
      <family val="0"/>
      <charset val="1"/>
    </font>
    <font>
      <sz val="10"/>
      <color theme="1"/>
      <name val="Aptos Narrow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E599"/>
        <bgColor rgb="FFFFFF99"/>
      </patternFill>
    </fill>
    <fill>
      <patternFill patternType="solid">
        <fgColor rgb="FF95DCF7"/>
        <bgColor rgb="FFCCCCFF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4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6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8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9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orner" xfId="20"/>
    <cellStyle name="Pivot Table Value" xfId="21"/>
    <cellStyle name="Pivot Table Field" xfId="22"/>
    <cellStyle name="Pivot Table Category" xfId="23"/>
    <cellStyle name="Pivot Table Title" xfId="24"/>
    <cellStyle name="Pivot Table Result" xfId="2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5DCF7"/>
      <rgbColor rgb="FFFF99CC"/>
      <rgbColor rgb="FFCC99FF"/>
      <rgbColor rgb="FFFFE5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<Relationship Id="rId8" Type="http://schemas.openxmlformats.org/officeDocument/2006/relationships/pivotCacheDefinition" Target="pivotCache/pivotCacheDefinition1.xml"/>
</Relationships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7" createdVersion="3">
  <cacheSource type="worksheet">
    <worksheetSource ref="C1:L20" sheet="liste des taches"/>
  </cacheSource>
  <cacheFields count="10">
    <cacheField name="Module" numFmtId="0">
      <sharedItems containsBlank="1" count="3">
        <s v="dashboard"/>
        <s v="Login"/>
        <m/>
      </sharedItems>
    </cacheField>
    <cacheField name="Nom page" numFmtId="0">
      <sharedItems containsBlank="1" count="4">
        <s v="fonctions.php"/>
        <s v="index.php"/>
        <s v="traitement-login.php"/>
        <m/>
      </sharedItems>
    </cacheField>
    <cacheField name="Description" numFmtId="0">
      <sharedItems containsBlank="1" count="7">
        <s v="checkLogin"/>
        <s v="Création html"/>
        <s v="Design css"/>
        <s v="données test"/>
        <s v="fonctionnement login"/>
        <s v="table login"/>
        <m/>
      </sharedItems>
    </cacheField>
    <cacheField name="Type" numFmtId="0">
      <sharedItems containsBlank="1" count="5">
        <s v="Affichage"/>
        <s v="Base"/>
        <s v="Code intégration"/>
        <s v="Fonction"/>
        <m/>
      </sharedItems>
    </cacheField>
    <cacheField name="Estimation" numFmtId="0">
      <sharedItems containsString="0" containsBlank="1" containsNumber="1" containsInteger="1" minValue="10" maxValue="180" count="5">
        <n v="10"/>
        <n v="15"/>
        <n v="30"/>
        <n v="180"/>
        <m/>
      </sharedItems>
    </cacheField>
    <cacheField name="Temps passé" numFmtId="0">
      <sharedItems containsString="0" containsBlank="1" containsNumber="1" containsInteger="1" minValue="0" maxValue="20" count="4">
        <n v="0"/>
        <n v="10"/>
        <n v="20"/>
        <m/>
      </sharedItems>
    </cacheField>
    <cacheField name="Reste à faire" numFmtId="0">
      <sharedItems containsString="0" containsBlank="1" containsNumber="1" containsInteger="1" minValue="5" maxValue="180" count="5">
        <n v="5"/>
        <n v="10"/>
        <n v="30"/>
        <n v="180"/>
        <m/>
      </sharedItems>
    </cacheField>
    <cacheField name="Avancement" numFmtId="0">
      <sharedItems containsString="0" containsBlank="1" containsNumber="1" minValue="0" maxValue="0.666666666666667" count="3">
        <n v="0"/>
        <n v="0.666666666666667"/>
        <m/>
      </sharedItems>
    </cacheField>
    <cacheField name="Qui" numFmtId="0">
      <sharedItems containsBlank="1" count="3">
        <s v="RAKOTO"/>
        <s v="RASOA"/>
        <m/>
      </sharedItems>
    </cacheField>
    <cacheField name="Status" numFmtId="0">
      <sharedItems containsString="0" containsBlank="1" count="1"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">
  <r>
    <x v="1"/>
    <x v="1"/>
    <x v="1"/>
    <x v="0"/>
    <x v="2"/>
    <x v="2"/>
    <x v="1"/>
    <x v="1"/>
    <x v="0"/>
    <x v="0"/>
  </r>
  <r>
    <x v="1"/>
    <x v="1"/>
    <x v="2"/>
    <x v="0"/>
    <x v="2"/>
    <x v="0"/>
    <x v="2"/>
    <x v="0"/>
    <x v="0"/>
    <x v="0"/>
  </r>
  <r>
    <x v="1"/>
    <x v="0"/>
    <x v="0"/>
    <x v="3"/>
    <x v="1"/>
    <x v="1"/>
    <x v="0"/>
    <x v="1"/>
    <x v="1"/>
    <x v="0"/>
  </r>
  <r>
    <x v="1"/>
    <x v="1"/>
    <x v="5"/>
    <x v="1"/>
    <x v="0"/>
    <x v="0"/>
    <x v="1"/>
    <x v="0"/>
    <x v="1"/>
    <x v="0"/>
  </r>
  <r>
    <x v="1"/>
    <x v="1"/>
    <x v="3"/>
    <x v="1"/>
    <x v="0"/>
    <x v="0"/>
    <x v="1"/>
    <x v="0"/>
    <x v="1"/>
    <x v="0"/>
  </r>
  <r>
    <x v="1"/>
    <x v="2"/>
    <x v="4"/>
    <x v="2"/>
    <x v="2"/>
    <x v="0"/>
    <x v="2"/>
    <x v="0"/>
    <x v="0"/>
    <x v="0"/>
  </r>
  <r>
    <x v="0"/>
    <x v="3"/>
    <x v="6"/>
    <x v="4"/>
    <x v="3"/>
    <x v="0"/>
    <x v="3"/>
    <x v="0"/>
    <x v="0"/>
    <x v="0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Recap" cacheId="1" applyNumberFormats="0" applyBorderFormats="0" applyFontFormats="0" applyPatternFormats="0" applyAlignmentFormats="0" applyWidthHeightFormats="0" dataCaption="Values" showDrill="1" useAutoFormatting="0" itemPrintTitles="1" indent="0" outline="0" outlineData="0" compact="0" compactData="0">
  <location ref="A3:B7" firstHeaderRow="1" firstDataRow="1" firstDataCol="1"/>
  <pivotFields count="10">
    <pivotField compact="0" showAll="0" outline="0"/>
    <pivotField compact="0" showAll="0" outline="0"/>
    <pivotField compact="0" showAll="0" outline="0"/>
    <pivotField compact="0" showAll="0" outline="0"/>
    <pivotField dataField="1" compact="0" showAll="0" outline="0"/>
    <pivotField compact="0" showAll="0" outline="0"/>
    <pivotField compact="0" showAll="0" outline="0"/>
    <pivotField compact="0" showAll="0" outline="0"/>
    <pivotField axis="axisRow" compact="0" showAll="0" outline="0">
      <items count="4">
        <item x="0"/>
        <item x="1"/>
        <item x="2"/>
        <item t="default"/>
      </items>
    </pivotField>
    <pivotField compact="0" showAll="0" outline="0"/>
  </pivotFields>
  <rowFields count="1">
    <field x="8"/>
  </rowFields>
  <dataFields count="1">
    <dataField name="Somme de Estimation" fld="4" subtotal="sum" numFmtId="164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 pitchFamily="0" charset="1"/>
        <a:ea typeface="Aptos Narrow" pitchFamily="0" charset="1"/>
        <a:cs typeface="Aptos Narrow" pitchFamily="0" charset="1"/>
      </a:majorFont>
      <a:minorFont>
        <a:latin typeface="Aptos Narrow" pitchFamily="0" charset="1"/>
        <a:ea typeface="Aptos Narrow" pitchFamily="0" charset="1"/>
        <a:cs typeface="Aptos Narrow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00"/>
  <sheetViews>
    <sheetView showFormulas="false" showGridLines="true" showRowColHeaders="true" showZeros="true" rightToLeft="false" tabSelected="false" showOutlineSymbols="true" defaultGridColor="true" view="normal" topLeftCell="A1" colorId="64" zoomScale="119" zoomScaleNormal="119" zoomScalePageLayoutView="100" workbookViewId="0">
      <selection pane="topLeft" activeCell="B5" activeCellId="0" sqref="B5"/>
    </sheetView>
  </sheetViews>
  <sheetFormatPr defaultColWidth="11.21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9.44"/>
    <col collapsed="false" customWidth="true" hidden="false" outlineLevel="0" max="26" min="3" style="0" width="10.56"/>
  </cols>
  <sheetData>
    <row r="1" customFormat="false" ht="15.75" hidden="false" customHeight="true" outlineLevel="0" collapsed="false">
      <c r="A1" s="1" t="s">
        <v>0</v>
      </c>
      <c r="B1" s="2" t="n">
        <f aca="false">'avancement projet'!D2</f>
        <v>0</v>
      </c>
    </row>
    <row r="2" customFormat="false" ht="15.75" hidden="false" customHeight="true" outlineLevel="0" collapsed="false"/>
    <row r="3" customFormat="false" ht="15.75" hidden="false" customHeight="true" outlineLevel="0" collapsed="false">
      <c r="A3" s="3" t="s">
        <v>1</v>
      </c>
      <c r="B3" s="4" t="s">
        <v>2</v>
      </c>
    </row>
    <row r="4" customFormat="false" ht="15.75" hidden="false" customHeight="true" outlineLevel="0" collapsed="false">
      <c r="A4" s="5" t="s">
        <v>3</v>
      </c>
      <c r="B4" s="6" t="n">
        <v>270</v>
      </c>
    </row>
    <row r="5" customFormat="false" ht="15.75" hidden="false" customHeight="true" outlineLevel="0" collapsed="false">
      <c r="A5" s="7" t="s">
        <v>4</v>
      </c>
      <c r="B5" s="8" t="n">
        <v>35</v>
      </c>
    </row>
    <row r="6" customFormat="false" ht="15.75" hidden="false" customHeight="true" outlineLevel="0" collapsed="false">
      <c r="A6" s="7" t="s">
        <v>4</v>
      </c>
      <c r="B6" s="9"/>
    </row>
    <row r="7" customFormat="false" ht="15.75" hidden="false" customHeight="true" outlineLevel="0" collapsed="false">
      <c r="A7" s="10" t="s">
        <v>5</v>
      </c>
      <c r="B7" s="11" t="n">
        <v>305</v>
      </c>
    </row>
    <row r="8" customFormat="false" ht="15.75" hidden="false" customHeight="true" outlineLevel="0" collapsed="false"/>
    <row r="9" customFormat="false" ht="15.75" hidden="false" customHeight="true" outlineLevel="0" collapsed="false"/>
    <row r="10" customFormat="false" ht="15.75" hidden="false" customHeight="true" outlineLevel="0" collapsed="false"/>
    <row r="11" customFormat="false" ht="15.75" hidden="false" customHeight="true" outlineLevel="0" collapsed="false"/>
    <row r="12" customFormat="false" ht="15.75" hidden="false" customHeight="true" outlineLevel="0" collapsed="false"/>
    <row r="13" customFormat="false" ht="15.75" hidden="false" customHeight="true" outlineLevel="0" collapsed="false"/>
    <row r="14" customFormat="false" ht="15.75" hidden="false" customHeight="true" outlineLevel="0" collapsed="false"/>
    <row r="15" customFormat="false" ht="15.75" hidden="false" customHeight="true" outlineLevel="0" collapsed="false"/>
    <row r="16" customFormat="false" ht="15.75" hidden="false" customHeight="true" outlineLevel="0" collapsed="false"/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00"/>
  <sheetViews>
    <sheetView showFormulas="false" showGridLines="true" showRowColHeaders="true" showZeros="true" rightToLeft="false" tabSelected="true" showOutlineSymbols="true" defaultGridColor="true" view="normal" topLeftCell="A1" colorId="64" zoomScale="119" zoomScaleNormal="119" zoomScalePageLayoutView="100" workbookViewId="0">
      <selection pane="topLeft" activeCell="K9" activeCellId="0" sqref="K9"/>
    </sheetView>
  </sheetViews>
  <sheetFormatPr defaultColWidth="11.21875" defaultRowHeight="15" zeroHeight="false" outlineLevelRow="0" outlineLevelCol="0"/>
  <cols>
    <col collapsed="false" customWidth="true" hidden="false" outlineLevel="0" max="1" min="1" style="0" width="8.67"/>
    <col collapsed="false" customWidth="true" hidden="false" outlineLevel="0" max="2" min="2" style="0" width="13.22"/>
    <col collapsed="false" customWidth="true" hidden="false" outlineLevel="0" max="3" min="3" style="0" width="11.59"/>
    <col collapsed="false" customWidth="true" hidden="false" outlineLevel="0" max="4" min="4" style="0" width="25.19"/>
    <col collapsed="false" customWidth="true" hidden="false" outlineLevel="0" max="5" min="5" style="0" width="79.47"/>
    <col collapsed="false" customWidth="true" hidden="false" outlineLevel="0" max="6" min="6" style="0" width="15.11"/>
    <col collapsed="false" customWidth="true" hidden="false" outlineLevel="0" max="7" min="7" style="0" width="10.56"/>
    <col collapsed="false" customWidth="true" hidden="false" outlineLevel="0" max="10" min="8" style="0" width="12"/>
    <col collapsed="false" customWidth="true" hidden="false" outlineLevel="0" max="11" min="11" style="0" width="12.11"/>
    <col collapsed="false" customWidth="true" hidden="false" outlineLevel="0" max="28" min="12" style="0" width="10.56"/>
  </cols>
  <sheetData>
    <row r="1" customFormat="false" ht="15.75" hidden="false" customHeight="true" outlineLevel="0" collapsed="false">
      <c r="A1" s="12" t="s">
        <v>6</v>
      </c>
      <c r="B1" s="12" t="s">
        <v>7</v>
      </c>
      <c r="C1" s="13" t="s">
        <v>8</v>
      </c>
      <c r="D1" s="13" t="s">
        <v>9</v>
      </c>
      <c r="E1" s="13" t="s">
        <v>10</v>
      </c>
      <c r="F1" s="13" t="s">
        <v>11</v>
      </c>
      <c r="G1" s="13" t="s">
        <v>12</v>
      </c>
      <c r="H1" s="13" t="s">
        <v>13</v>
      </c>
      <c r="I1" s="13" t="s">
        <v>14</v>
      </c>
      <c r="J1" s="13" t="s">
        <v>0</v>
      </c>
      <c r="K1" s="13" t="s">
        <v>1</v>
      </c>
      <c r="L1" s="13" t="s">
        <v>15</v>
      </c>
    </row>
    <row r="2" customFormat="false" ht="15.75" hidden="false" customHeight="true" outlineLevel="0" collapsed="false">
      <c r="A2" s="14" t="n">
        <v>1</v>
      </c>
      <c r="B2" s="14" t="s">
        <v>16</v>
      </c>
      <c r="C2" s="15" t="s">
        <v>17</v>
      </c>
      <c r="D2" s="15" t="s">
        <v>18</v>
      </c>
      <c r="E2" s="15" t="s">
        <v>19</v>
      </c>
      <c r="F2" s="15" t="s">
        <v>20</v>
      </c>
      <c r="G2" s="15" t="n">
        <v>3</v>
      </c>
      <c r="H2" s="15" t="n">
        <v>0</v>
      </c>
      <c r="I2" s="15" t="n">
        <v>3</v>
      </c>
      <c r="J2" s="16" t="n">
        <f aca="false">(H2/(H2+I2))</f>
        <v>0</v>
      </c>
      <c r="K2" s="15" t="s">
        <v>3</v>
      </c>
    </row>
    <row r="3" customFormat="false" ht="15.75" hidden="false" customHeight="true" outlineLevel="0" collapsed="false">
      <c r="A3" s="14" t="n">
        <v>2</v>
      </c>
      <c r="B3" s="14" t="s">
        <v>16</v>
      </c>
      <c r="C3" s="15" t="s">
        <v>17</v>
      </c>
      <c r="D3" s="15" t="s">
        <v>21</v>
      </c>
      <c r="E3" s="15" t="s">
        <v>22</v>
      </c>
      <c r="F3" s="15" t="s">
        <v>23</v>
      </c>
      <c r="G3" s="15" t="n">
        <v>2</v>
      </c>
      <c r="H3" s="15" t="n">
        <f aca="false">detail!B3</f>
        <v>0</v>
      </c>
      <c r="I3" s="15" t="n">
        <f aca="false">G3-H3</f>
        <v>2</v>
      </c>
      <c r="J3" s="16" t="n">
        <f aca="false">(H3/(H3+I3))</f>
        <v>0</v>
      </c>
      <c r="K3" s="15" t="s">
        <v>3</v>
      </c>
    </row>
    <row r="4" customFormat="false" ht="15.75" hidden="false" customHeight="true" outlineLevel="0" collapsed="false">
      <c r="A4" s="14" t="n">
        <v>3</v>
      </c>
      <c r="B4" s="14" t="s">
        <v>16</v>
      </c>
      <c r="C4" s="15" t="s">
        <v>17</v>
      </c>
      <c r="D4" s="15" t="s">
        <v>24</v>
      </c>
      <c r="E4" s="15" t="s">
        <v>25</v>
      </c>
      <c r="F4" s="15" t="s">
        <v>26</v>
      </c>
      <c r="G4" s="15" t="n">
        <v>10</v>
      </c>
      <c r="H4" s="15" t="n">
        <v>0</v>
      </c>
      <c r="I4" s="15" t="n">
        <f aca="false">G4-H4</f>
        <v>10</v>
      </c>
      <c r="J4" s="16" t="n">
        <f aca="false">(H4/(H4+I4))</f>
        <v>0</v>
      </c>
      <c r="K4" s="15" t="s">
        <v>4</v>
      </c>
    </row>
    <row r="5" customFormat="false" ht="15.75" hidden="false" customHeight="true" outlineLevel="0" collapsed="false">
      <c r="A5" s="14" t="n">
        <v>4</v>
      </c>
      <c r="B5" s="14" t="s">
        <v>16</v>
      </c>
      <c r="C5" s="15" t="s">
        <v>17</v>
      </c>
      <c r="D5" s="15" t="s">
        <v>24</v>
      </c>
      <c r="E5" s="15" t="s">
        <v>27</v>
      </c>
      <c r="F5" s="15" t="s">
        <v>26</v>
      </c>
      <c r="G5" s="15" t="n">
        <v>10</v>
      </c>
      <c r="H5" s="15" t="n">
        <f aca="false">detail!B5</f>
        <v>0</v>
      </c>
      <c r="I5" s="15" t="n">
        <f aca="false">G5-H5</f>
        <v>10</v>
      </c>
      <c r="J5" s="16" t="n">
        <f aca="false">(H5/(H5+I5))</f>
        <v>0</v>
      </c>
      <c r="K5" s="15" t="s">
        <v>4</v>
      </c>
    </row>
    <row r="6" customFormat="false" ht="15.75" hidden="false" customHeight="true" outlineLevel="0" collapsed="false">
      <c r="A6" s="14" t="n">
        <v>5</v>
      </c>
      <c r="B6" s="14" t="s">
        <v>16</v>
      </c>
      <c r="C6" s="15" t="s">
        <v>17</v>
      </c>
      <c r="D6" s="15" t="s">
        <v>28</v>
      </c>
      <c r="E6" s="15" t="s">
        <v>29</v>
      </c>
      <c r="F6" s="15" t="s">
        <v>26</v>
      </c>
      <c r="G6" s="15" t="n">
        <v>10</v>
      </c>
      <c r="H6" s="15" t="n">
        <f aca="false">detail!B6</f>
        <v>0</v>
      </c>
      <c r="I6" s="15" t="n">
        <f aca="false">G6-H6</f>
        <v>10</v>
      </c>
      <c r="J6" s="16" t="n">
        <f aca="false">(H6/(H6+I6))</f>
        <v>0</v>
      </c>
      <c r="K6" s="15" t="s">
        <v>30</v>
      </c>
    </row>
    <row r="7" customFormat="false" ht="15.75" hidden="false" customHeight="true" outlineLevel="0" collapsed="false">
      <c r="A7" s="14" t="n">
        <v>6</v>
      </c>
      <c r="B7" s="14" t="s">
        <v>16</v>
      </c>
      <c r="C7" s="15" t="s">
        <v>17</v>
      </c>
      <c r="D7" s="15" t="s">
        <v>31</v>
      </c>
      <c r="E7" s="17" t="s">
        <v>32</v>
      </c>
      <c r="F7" s="15" t="s">
        <v>26</v>
      </c>
      <c r="G7" s="15" t="n">
        <v>15</v>
      </c>
      <c r="H7" s="15" t="n">
        <f aca="false">detail!B7</f>
        <v>0</v>
      </c>
      <c r="I7" s="15" t="n">
        <f aca="false">G7-H7</f>
        <v>15</v>
      </c>
      <c r="J7" s="16" t="n">
        <f aca="false">(H7/(H7+I7))</f>
        <v>0</v>
      </c>
      <c r="K7" s="15" t="s">
        <v>30</v>
      </c>
    </row>
    <row r="8" customFormat="false" ht="15.75" hidden="false" customHeight="true" outlineLevel="0" collapsed="false">
      <c r="A8" s="14" t="n">
        <v>7</v>
      </c>
      <c r="B8" s="14" t="s">
        <v>16</v>
      </c>
      <c r="C8" s="15" t="s">
        <v>17</v>
      </c>
      <c r="D8" s="18" t="s">
        <v>33</v>
      </c>
      <c r="E8" s="18" t="s">
        <v>34</v>
      </c>
      <c r="F8" s="18" t="s">
        <v>35</v>
      </c>
      <c r="G8" s="15" t="n">
        <v>20</v>
      </c>
      <c r="H8" s="15" t="n">
        <f aca="false">detail!B8</f>
        <v>0</v>
      </c>
      <c r="I8" s="15" t="n">
        <f aca="false">G8-H8</f>
        <v>20</v>
      </c>
      <c r="J8" s="16" t="n">
        <f aca="false">(H8/(H8+I8))</f>
        <v>0</v>
      </c>
      <c r="K8" s="15" t="s">
        <v>30</v>
      </c>
    </row>
    <row r="9" customFormat="false" ht="15.75" hidden="false" customHeight="true" outlineLevel="0" collapsed="false">
      <c r="A9" s="14" t="n">
        <v>8</v>
      </c>
      <c r="B9" s="14" t="s">
        <v>16</v>
      </c>
      <c r="C9" s="15" t="s">
        <v>17</v>
      </c>
      <c r="D9" s="18" t="s">
        <v>36</v>
      </c>
      <c r="E9" s="18" t="s">
        <v>37</v>
      </c>
      <c r="F9" s="18" t="s">
        <v>35</v>
      </c>
      <c r="G9" s="15" t="n">
        <v>15</v>
      </c>
      <c r="H9" s="15" t="n">
        <f aca="false">detail!B9</f>
        <v>0</v>
      </c>
      <c r="I9" s="15" t="n">
        <f aca="false">G9-H9</f>
        <v>15</v>
      </c>
      <c r="J9" s="16" t="n">
        <f aca="false">(H9/(H9+I9))</f>
        <v>0</v>
      </c>
      <c r="K9" s="15" t="s">
        <v>3</v>
      </c>
    </row>
    <row r="10" customFormat="false" ht="15.75" hidden="false" customHeight="true" outlineLevel="0" collapsed="false">
      <c r="A10" s="14" t="n">
        <v>9</v>
      </c>
      <c r="B10" s="14" t="s">
        <v>16</v>
      </c>
      <c r="C10" s="18" t="s">
        <v>38</v>
      </c>
      <c r="D10" s="18" t="s">
        <v>18</v>
      </c>
      <c r="E10" s="18" t="s">
        <v>39</v>
      </c>
      <c r="F10" s="18" t="s">
        <v>20</v>
      </c>
      <c r="G10" s="15" t="n">
        <v>15</v>
      </c>
      <c r="H10" s="15" t="n">
        <f aca="false">detail!B10</f>
        <v>0</v>
      </c>
      <c r="I10" s="15" t="n">
        <f aca="false">G10-H10</f>
        <v>15</v>
      </c>
      <c r="J10" s="16" t="n">
        <f aca="false">(H10/(H10+I10))</f>
        <v>0</v>
      </c>
      <c r="K10" s="15" t="s">
        <v>4</v>
      </c>
    </row>
    <row r="11" customFormat="false" ht="15.75" hidden="false" customHeight="true" outlineLevel="0" collapsed="false">
      <c r="A11" s="14" t="n">
        <v>10</v>
      </c>
      <c r="B11" s="14" t="s">
        <v>16</v>
      </c>
      <c r="C11" s="18" t="s">
        <v>38</v>
      </c>
      <c r="D11" s="18" t="s">
        <v>21</v>
      </c>
      <c r="E11" s="18" t="s">
        <v>40</v>
      </c>
      <c r="F11" s="18" t="s">
        <v>23</v>
      </c>
      <c r="G11" s="15" t="n">
        <v>1</v>
      </c>
      <c r="H11" s="15" t="n">
        <f aca="false">detail!B11</f>
        <v>0</v>
      </c>
      <c r="I11" s="15" t="n">
        <f aca="false">G11-H11</f>
        <v>1</v>
      </c>
      <c r="J11" s="16" t="n">
        <f aca="false">(H11/(H11+I11))</f>
        <v>0</v>
      </c>
      <c r="K11" s="15" t="s">
        <v>4</v>
      </c>
    </row>
    <row r="12" customFormat="false" ht="15.75" hidden="false" customHeight="true" outlineLevel="0" collapsed="false">
      <c r="A12" s="14" t="n">
        <v>11</v>
      </c>
      <c r="B12" s="14" t="s">
        <v>16</v>
      </c>
      <c r="C12" s="18" t="s">
        <v>38</v>
      </c>
      <c r="D12" s="18" t="s">
        <v>41</v>
      </c>
      <c r="E12" s="18" t="s">
        <v>42</v>
      </c>
      <c r="F12" s="18" t="s">
        <v>26</v>
      </c>
      <c r="G12" s="15" t="n">
        <v>10</v>
      </c>
      <c r="H12" s="15" t="n">
        <f aca="false">detail!B12</f>
        <v>0</v>
      </c>
      <c r="I12" s="15" t="n">
        <f aca="false">G12-H12</f>
        <v>10</v>
      </c>
      <c r="J12" s="16" t="n">
        <f aca="false">(H12/(H12+I12))</f>
        <v>0</v>
      </c>
      <c r="K12" s="15" t="s">
        <v>4</v>
      </c>
    </row>
    <row r="13" customFormat="false" ht="15.75" hidden="false" customHeight="true" outlineLevel="0" collapsed="false">
      <c r="A13" s="14" t="n">
        <v>12</v>
      </c>
      <c r="B13" s="14" t="s">
        <v>16</v>
      </c>
      <c r="C13" s="18" t="s">
        <v>38</v>
      </c>
      <c r="D13" s="18" t="s">
        <v>43</v>
      </c>
      <c r="E13" s="18" t="s">
        <v>44</v>
      </c>
      <c r="F13" s="18" t="s">
        <v>26</v>
      </c>
      <c r="G13" s="15" t="n">
        <v>10</v>
      </c>
      <c r="H13" s="15" t="n">
        <f aca="false">detail!B13</f>
        <v>0</v>
      </c>
      <c r="I13" s="15" t="n">
        <f aca="false">G13-H13</f>
        <v>10</v>
      </c>
      <c r="J13" s="16" t="n">
        <f aca="false">(H13/(H13+I13))</f>
        <v>0</v>
      </c>
      <c r="K13" s="15" t="s">
        <v>4</v>
      </c>
    </row>
    <row r="14" customFormat="false" ht="15.75" hidden="false" customHeight="true" outlineLevel="0" collapsed="false">
      <c r="A14" s="14" t="n">
        <v>13</v>
      </c>
      <c r="B14" s="14" t="s">
        <v>16</v>
      </c>
      <c r="C14" s="18" t="s">
        <v>38</v>
      </c>
      <c r="D14" s="18" t="s">
        <v>45</v>
      </c>
      <c r="E14" s="18" t="s">
        <v>46</v>
      </c>
      <c r="F14" s="18" t="s">
        <v>35</v>
      </c>
      <c r="G14" s="15" t="n">
        <v>15</v>
      </c>
      <c r="H14" s="15" t="n">
        <f aca="false">detail!B14</f>
        <v>0</v>
      </c>
      <c r="I14" s="15" t="n">
        <f aca="false">G14-H14</f>
        <v>15</v>
      </c>
      <c r="J14" s="16" t="n">
        <f aca="false">(H14/(H14+I14))</f>
        <v>0</v>
      </c>
      <c r="K14" s="15" t="s">
        <v>4</v>
      </c>
    </row>
    <row r="15" customFormat="false" ht="15.75" hidden="false" customHeight="true" outlineLevel="0" collapsed="false">
      <c r="A15" s="14" t="n">
        <v>14</v>
      </c>
      <c r="B15" s="14" t="s">
        <v>16</v>
      </c>
      <c r="C15" s="18" t="s">
        <v>38</v>
      </c>
      <c r="D15" s="18" t="s">
        <v>36</v>
      </c>
      <c r="E15" s="18" t="s">
        <v>37</v>
      </c>
      <c r="F15" s="18" t="s">
        <v>35</v>
      </c>
      <c r="G15" s="15" t="n">
        <v>20</v>
      </c>
      <c r="H15" s="15" t="n">
        <f aca="false">detail!B15</f>
        <v>0</v>
      </c>
      <c r="I15" s="15" t="n">
        <f aca="false">G15-H15</f>
        <v>20</v>
      </c>
      <c r="J15" s="16" t="n">
        <f aca="false">(H15/(H15+I15))</f>
        <v>0</v>
      </c>
      <c r="K15" s="15" t="s">
        <v>4</v>
      </c>
    </row>
    <row r="16" customFormat="false" ht="15.75" hidden="false" customHeight="true" outlineLevel="0" collapsed="false">
      <c r="A16" s="14" t="n">
        <v>15</v>
      </c>
      <c r="B16" s="14" t="s">
        <v>16</v>
      </c>
      <c r="C16" s="18" t="s">
        <v>47</v>
      </c>
      <c r="D16" s="18" t="s">
        <v>21</v>
      </c>
      <c r="E16" s="18" t="s">
        <v>48</v>
      </c>
      <c r="F16" s="18" t="s">
        <v>26</v>
      </c>
      <c r="G16" s="15" t="n">
        <v>1</v>
      </c>
      <c r="H16" s="15" t="n">
        <f aca="false">detail!B16</f>
        <v>0</v>
      </c>
      <c r="I16" s="15" t="n">
        <f aca="false">G16-H16</f>
        <v>1</v>
      </c>
      <c r="J16" s="16" t="n">
        <f aca="false">(H16/(H16+I16))</f>
        <v>0</v>
      </c>
      <c r="K16" s="15" t="s">
        <v>30</v>
      </c>
    </row>
    <row r="17" customFormat="false" ht="15.75" hidden="false" customHeight="true" outlineLevel="0" collapsed="false">
      <c r="A17" s="14" t="n">
        <v>16</v>
      </c>
      <c r="B17" s="14" t="s">
        <v>16</v>
      </c>
      <c r="C17" s="18" t="s">
        <v>47</v>
      </c>
      <c r="D17" s="18" t="s">
        <v>49</v>
      </c>
      <c r="E17" s="18" t="s">
        <v>50</v>
      </c>
      <c r="F17" s="18" t="s">
        <v>26</v>
      </c>
      <c r="G17" s="15" t="n">
        <v>15</v>
      </c>
      <c r="H17" s="15" t="n">
        <f aca="false">detail!B17</f>
        <v>0</v>
      </c>
      <c r="I17" s="15" t="n">
        <f aca="false">G17-H17</f>
        <v>15</v>
      </c>
      <c r="J17" s="16" t="n">
        <f aca="false">(H17/(H17+I17))</f>
        <v>0</v>
      </c>
      <c r="K17" s="15" t="s">
        <v>30</v>
      </c>
    </row>
    <row r="18" customFormat="false" ht="15.75" hidden="false" customHeight="true" outlineLevel="0" collapsed="false">
      <c r="A18" s="14" t="n">
        <v>17</v>
      </c>
      <c r="B18" s="14" t="s">
        <v>16</v>
      </c>
      <c r="C18" s="18" t="s">
        <v>47</v>
      </c>
      <c r="D18" s="18" t="s">
        <v>49</v>
      </c>
      <c r="E18" s="18" t="s">
        <v>51</v>
      </c>
      <c r="F18" s="18" t="s">
        <v>26</v>
      </c>
      <c r="G18" s="15" t="n">
        <v>20</v>
      </c>
      <c r="H18" s="15" t="n">
        <f aca="false">detail!B18</f>
        <v>0</v>
      </c>
      <c r="I18" s="15" t="n">
        <f aca="false">G18-H18</f>
        <v>20</v>
      </c>
      <c r="J18" s="16" t="n">
        <f aca="false">(H18/(H18+I18))</f>
        <v>0</v>
      </c>
      <c r="K18" s="15" t="s">
        <v>30</v>
      </c>
    </row>
    <row r="19" customFormat="false" ht="15.75" hidden="false" customHeight="true" outlineLevel="0" collapsed="false">
      <c r="A19" s="14" t="n">
        <v>18</v>
      </c>
      <c r="B19" s="14" t="s">
        <v>16</v>
      </c>
      <c r="C19" s="18" t="s">
        <v>47</v>
      </c>
      <c r="D19" s="18" t="s">
        <v>52</v>
      </c>
      <c r="E19" s="18" t="s">
        <v>53</v>
      </c>
      <c r="F19" s="18" t="s">
        <v>26</v>
      </c>
      <c r="G19" s="15" t="n">
        <v>12</v>
      </c>
      <c r="H19" s="15" t="n">
        <f aca="false">detail!B19</f>
        <v>0</v>
      </c>
      <c r="I19" s="15" t="n">
        <f aca="false">G19-H19</f>
        <v>12</v>
      </c>
      <c r="J19" s="16" t="n">
        <f aca="false">(H19/(H19+I19))</f>
        <v>0</v>
      </c>
      <c r="K19" s="15" t="s">
        <v>30</v>
      </c>
    </row>
    <row r="20" customFormat="false" ht="15.75" hidden="false" customHeight="true" outlineLevel="0" collapsed="false">
      <c r="A20" s="14" t="n">
        <v>19</v>
      </c>
      <c r="B20" s="14" t="s">
        <v>16</v>
      </c>
      <c r="C20" s="18" t="s">
        <v>47</v>
      </c>
      <c r="D20" s="18" t="s">
        <v>54</v>
      </c>
      <c r="E20" s="18" t="s">
        <v>55</v>
      </c>
      <c r="F20" s="18" t="s">
        <v>35</v>
      </c>
      <c r="G20" s="15" t="n">
        <v>15</v>
      </c>
      <c r="H20" s="15" t="n">
        <f aca="false">detail!B20</f>
        <v>0</v>
      </c>
      <c r="I20" s="15" t="n">
        <f aca="false">G20-H20</f>
        <v>15</v>
      </c>
      <c r="J20" s="16" t="n">
        <f aca="false">(H20/(H20+I20))</f>
        <v>0</v>
      </c>
      <c r="K20" s="15" t="s">
        <v>30</v>
      </c>
    </row>
    <row r="21" customFormat="false" ht="15.75" hidden="false" customHeight="true" outlineLevel="0" collapsed="false">
      <c r="A21" s="14" t="n">
        <v>20</v>
      </c>
      <c r="B21" s="14" t="s">
        <v>16</v>
      </c>
      <c r="C21" s="18" t="s">
        <v>47</v>
      </c>
      <c r="D21" s="18" t="s">
        <v>36</v>
      </c>
      <c r="E21" s="18" t="s">
        <v>56</v>
      </c>
      <c r="F21" s="18" t="s">
        <v>35</v>
      </c>
      <c r="G21" s="15" t="n">
        <v>25</v>
      </c>
      <c r="H21" s="15" t="n">
        <f aca="false">detail!B21</f>
        <v>0</v>
      </c>
      <c r="I21" s="15" t="n">
        <f aca="false">G21-H21</f>
        <v>25</v>
      </c>
      <c r="J21" s="16" t="n">
        <f aca="false">(H21/(H21+I21))</f>
        <v>0</v>
      </c>
      <c r="K21" s="15" t="s">
        <v>30</v>
      </c>
    </row>
    <row r="22" customFormat="false" ht="15.75" hidden="false" customHeight="true" outlineLevel="0" collapsed="false">
      <c r="A22" s="14" t="n">
        <v>21</v>
      </c>
      <c r="B22" s="14" t="s">
        <v>16</v>
      </c>
      <c r="C22" s="18" t="s">
        <v>57</v>
      </c>
      <c r="D22" s="18" t="s">
        <v>21</v>
      </c>
      <c r="E22" s="18" t="s">
        <v>58</v>
      </c>
      <c r="F22" s="18" t="s">
        <v>23</v>
      </c>
      <c r="G22" s="15" t="n">
        <v>2</v>
      </c>
      <c r="H22" s="15" t="n">
        <f aca="false">detail!B22</f>
        <v>0</v>
      </c>
      <c r="I22" s="15" t="n">
        <f aca="false">G22-H22</f>
        <v>2</v>
      </c>
      <c r="J22" s="16" t="n">
        <f aca="false">(H22/(H22+I22))</f>
        <v>0</v>
      </c>
      <c r="K22" s="15" t="s">
        <v>3</v>
      </c>
    </row>
    <row r="23" customFormat="false" ht="15.75" hidden="false" customHeight="true" outlineLevel="0" collapsed="false">
      <c r="A23" s="14" t="n">
        <v>22</v>
      </c>
      <c r="B23" s="14" t="s">
        <v>16</v>
      </c>
      <c r="C23" s="18" t="s">
        <v>57</v>
      </c>
      <c r="D23" s="18" t="s">
        <v>59</v>
      </c>
      <c r="E23" s="18" t="s">
        <v>60</v>
      </c>
      <c r="F23" s="18" t="s">
        <v>26</v>
      </c>
      <c r="G23" s="15" t="n">
        <v>10</v>
      </c>
      <c r="H23" s="15" t="n">
        <f aca="false">detail!B23</f>
        <v>0</v>
      </c>
      <c r="I23" s="15" t="n">
        <f aca="false">G23-H23</f>
        <v>10</v>
      </c>
      <c r="J23" s="16" t="n">
        <f aca="false">(H23/(H23+I23))</f>
        <v>0</v>
      </c>
      <c r="K23" s="15" t="s">
        <v>3</v>
      </c>
    </row>
    <row r="24" customFormat="false" ht="15.75" hidden="false" customHeight="true" outlineLevel="0" collapsed="false">
      <c r="A24" s="14" t="n">
        <v>23</v>
      </c>
      <c r="B24" s="14" t="s">
        <v>16</v>
      </c>
      <c r="C24" s="18" t="s">
        <v>57</v>
      </c>
      <c r="D24" s="18" t="s">
        <v>59</v>
      </c>
      <c r="E24" s="18" t="s">
        <v>61</v>
      </c>
      <c r="F24" s="18" t="s">
        <v>26</v>
      </c>
      <c r="G24" s="15" t="n">
        <v>10</v>
      </c>
      <c r="H24" s="15" t="n">
        <f aca="false">detail!B24</f>
        <v>0</v>
      </c>
      <c r="I24" s="15" t="n">
        <f aca="false">G24-H24</f>
        <v>10</v>
      </c>
      <c r="J24" s="16" t="n">
        <f aca="false">(H24/(H24+I24))</f>
        <v>0</v>
      </c>
      <c r="K24" s="15" t="s">
        <v>3</v>
      </c>
    </row>
    <row r="25" customFormat="false" ht="15.75" hidden="false" customHeight="true" outlineLevel="0" collapsed="false">
      <c r="A25" s="14" t="n">
        <v>24</v>
      </c>
      <c r="B25" s="14" t="s">
        <v>16</v>
      </c>
      <c r="C25" s="18" t="s">
        <v>57</v>
      </c>
      <c r="D25" s="18" t="s">
        <v>62</v>
      </c>
      <c r="E25" s="18" t="s">
        <v>63</v>
      </c>
      <c r="F25" s="18" t="s">
        <v>26</v>
      </c>
      <c r="G25" s="15" t="n">
        <v>12</v>
      </c>
      <c r="H25" s="15" t="n">
        <f aca="false">detail!B25</f>
        <v>0</v>
      </c>
      <c r="I25" s="15" t="n">
        <f aca="false">G25-H25</f>
        <v>12</v>
      </c>
      <c r="J25" s="16" t="n">
        <f aca="false">(H25/(H25+I25))</f>
        <v>0</v>
      </c>
      <c r="K25" s="15" t="s">
        <v>3</v>
      </c>
    </row>
    <row r="26" customFormat="false" ht="15.75" hidden="false" customHeight="true" outlineLevel="0" collapsed="false">
      <c r="A26" s="14" t="n">
        <v>25</v>
      </c>
      <c r="B26" s="14" t="s">
        <v>16</v>
      </c>
      <c r="C26" s="18" t="s">
        <v>57</v>
      </c>
      <c r="D26" s="18" t="s">
        <v>64</v>
      </c>
      <c r="E26" s="18" t="s">
        <v>65</v>
      </c>
      <c r="F26" s="18" t="s">
        <v>35</v>
      </c>
      <c r="G26" s="15" t="n">
        <v>15</v>
      </c>
      <c r="H26" s="15" t="n">
        <f aca="false">detail!B26</f>
        <v>0</v>
      </c>
      <c r="I26" s="15" t="n">
        <f aca="false">G26-H26</f>
        <v>15</v>
      </c>
      <c r="J26" s="16" t="n">
        <f aca="false">(H26/(H26+I26))</f>
        <v>0</v>
      </c>
      <c r="K26" s="15" t="s">
        <v>3</v>
      </c>
    </row>
    <row r="27" customFormat="false" ht="15.75" hidden="false" customHeight="true" outlineLevel="0" collapsed="false">
      <c r="A27" s="14" t="n">
        <v>26</v>
      </c>
      <c r="B27" s="14" t="s">
        <v>16</v>
      </c>
      <c r="C27" s="18" t="s">
        <v>57</v>
      </c>
      <c r="D27" s="18" t="s">
        <v>36</v>
      </c>
      <c r="E27" s="18" t="s">
        <v>37</v>
      </c>
      <c r="F27" s="18" t="s">
        <v>35</v>
      </c>
      <c r="G27" s="15" t="n">
        <v>20</v>
      </c>
      <c r="H27" s="15" t="n">
        <f aca="false">detail!B27</f>
        <v>0</v>
      </c>
      <c r="I27" s="15" t="n">
        <f aca="false">G27-H27</f>
        <v>20</v>
      </c>
      <c r="J27" s="16" t="n">
        <f aca="false">(H27/(H27+I27))</f>
        <v>0</v>
      </c>
      <c r="K27" s="15" t="s">
        <v>3</v>
      </c>
    </row>
    <row r="28" customFormat="false" ht="15.75" hidden="false" customHeight="true" outlineLevel="0" collapsed="false">
      <c r="A28" s="14"/>
      <c r="B28" s="14"/>
      <c r="G28" s="15"/>
      <c r="H28" s="15"/>
      <c r="I28" s="15"/>
      <c r="J28" s="16"/>
      <c r="K28" s="15"/>
    </row>
    <row r="29" customFormat="false" ht="15.75" hidden="false" customHeight="true" outlineLevel="0" collapsed="false">
      <c r="A29" s="14"/>
      <c r="B29" s="14"/>
      <c r="G29" s="15"/>
      <c r="H29" s="15"/>
      <c r="I29" s="15"/>
      <c r="J29" s="16"/>
      <c r="K29" s="15"/>
    </row>
    <row r="30" customFormat="false" ht="15.75" hidden="false" customHeight="true" outlineLevel="0" collapsed="false">
      <c r="A30" s="14"/>
      <c r="B30" s="14"/>
      <c r="G30" s="15"/>
      <c r="H30" s="15"/>
      <c r="I30" s="15"/>
      <c r="J30" s="16"/>
      <c r="K30" s="15"/>
    </row>
    <row r="31" customFormat="false" ht="15.75" hidden="false" customHeight="true" outlineLevel="0" collapsed="false">
      <c r="A31" s="14"/>
      <c r="B31" s="14"/>
      <c r="G31" s="15"/>
      <c r="H31" s="15"/>
      <c r="I31" s="15"/>
      <c r="J31" s="16"/>
      <c r="K31" s="15"/>
    </row>
    <row r="32" customFormat="false" ht="15.75" hidden="false" customHeight="true" outlineLevel="0" collapsed="false">
      <c r="A32" s="14"/>
      <c r="B32" s="14"/>
      <c r="G32" s="15"/>
      <c r="H32" s="15"/>
      <c r="I32" s="15"/>
      <c r="J32" s="16"/>
      <c r="K32" s="15"/>
    </row>
    <row r="33" customFormat="false" ht="15.75" hidden="false" customHeight="true" outlineLevel="0" collapsed="false">
      <c r="A33" s="14"/>
      <c r="B33" s="14"/>
      <c r="G33" s="15"/>
      <c r="H33" s="15"/>
      <c r="I33" s="15"/>
      <c r="J33" s="16"/>
      <c r="K33" s="15"/>
    </row>
    <row r="34" customFormat="false" ht="15.75" hidden="false" customHeight="true" outlineLevel="0" collapsed="false">
      <c r="A34" s="14"/>
      <c r="B34" s="14"/>
      <c r="G34" s="15"/>
      <c r="H34" s="15"/>
      <c r="I34" s="15"/>
      <c r="J34" s="16"/>
      <c r="K34" s="15"/>
    </row>
    <row r="35" customFormat="false" ht="15.75" hidden="false" customHeight="true" outlineLevel="0" collapsed="false">
      <c r="A35" s="14"/>
      <c r="B35" s="14"/>
      <c r="G35" s="15"/>
      <c r="H35" s="15"/>
      <c r="I35" s="15"/>
      <c r="J35" s="16"/>
      <c r="K35" s="15"/>
    </row>
    <row r="36" customFormat="false" ht="15.75" hidden="false" customHeight="true" outlineLevel="0" collapsed="false">
      <c r="A36" s="14"/>
      <c r="B36" s="14"/>
      <c r="G36" s="15"/>
      <c r="H36" s="15"/>
      <c r="I36" s="15"/>
      <c r="J36" s="16"/>
      <c r="K36" s="15"/>
    </row>
    <row r="37" customFormat="false" ht="15.75" hidden="false" customHeight="true" outlineLevel="0" collapsed="false">
      <c r="A37" s="14"/>
      <c r="B37" s="14"/>
      <c r="G37" s="15"/>
      <c r="H37" s="15"/>
      <c r="I37" s="15"/>
      <c r="J37" s="16"/>
      <c r="K37" s="15"/>
    </row>
    <row r="38" customFormat="false" ht="15.75" hidden="false" customHeight="true" outlineLevel="0" collapsed="false">
      <c r="A38" s="14"/>
      <c r="B38" s="14"/>
      <c r="G38" s="15"/>
      <c r="H38" s="15"/>
      <c r="I38" s="15"/>
      <c r="J38" s="16"/>
      <c r="K38" s="15"/>
    </row>
    <row r="39" customFormat="false" ht="15.75" hidden="false" customHeight="true" outlineLevel="0" collapsed="false">
      <c r="A39" s="14"/>
      <c r="B39" s="14"/>
      <c r="G39" s="15"/>
      <c r="H39" s="15"/>
      <c r="I39" s="15"/>
      <c r="J39" s="16"/>
      <c r="K39" s="15"/>
    </row>
    <row r="40" customFormat="false" ht="15.75" hidden="false" customHeight="true" outlineLevel="0" collapsed="false">
      <c r="A40" s="14"/>
      <c r="B40" s="14"/>
      <c r="G40" s="15"/>
      <c r="H40" s="15"/>
      <c r="I40" s="15"/>
      <c r="J40" s="16"/>
      <c r="K40" s="15"/>
    </row>
    <row r="41" customFormat="false" ht="15.75" hidden="false" customHeight="true" outlineLevel="0" collapsed="false">
      <c r="A41" s="14"/>
      <c r="B41" s="14"/>
      <c r="G41" s="15"/>
      <c r="H41" s="15"/>
      <c r="I41" s="15"/>
      <c r="J41" s="16"/>
      <c r="K41" s="15"/>
    </row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00"/>
  <sheetViews>
    <sheetView showFormulas="false" showGridLines="true" showRowColHeaders="true" showZeros="true" rightToLeft="false" tabSelected="false" showOutlineSymbols="true" defaultGridColor="true" view="normal" topLeftCell="A1" colorId="64" zoomScale="119" zoomScaleNormal="119" zoomScalePageLayoutView="100" workbookViewId="0">
      <selection pane="topLeft" activeCell="C3" activeCellId="0" sqref="C3"/>
    </sheetView>
  </sheetViews>
  <sheetFormatPr defaultColWidth="11.21875" defaultRowHeight="15" zeroHeight="false" outlineLevelRow="0" outlineLevelCol="0"/>
  <cols>
    <col collapsed="false" customWidth="true" hidden="false" outlineLevel="0" max="1" min="1" style="0" width="25.44"/>
    <col collapsed="false" customWidth="true" hidden="false" outlineLevel="0" max="2" min="2" style="0" width="25.78"/>
    <col collapsed="false" customWidth="true" hidden="false" outlineLevel="0" max="3" min="3" style="0" width="30.78"/>
    <col collapsed="false" customWidth="true" hidden="false" outlineLevel="0" max="4" min="4" style="0" width="12.44"/>
    <col collapsed="false" customWidth="true" hidden="false" outlineLevel="0" max="5" min="5" style="0" width="22.44"/>
    <col collapsed="false" customWidth="true" hidden="false" outlineLevel="0" max="26" min="6" style="0" width="10.56"/>
  </cols>
  <sheetData>
    <row r="1" customFormat="false" ht="15.75" hidden="false" customHeight="true" outlineLevel="0" collapsed="false">
      <c r="A1" s="13" t="s">
        <v>66</v>
      </c>
      <c r="B1" s="13" t="s">
        <v>67</v>
      </c>
      <c r="C1" s="13" t="s">
        <v>68</v>
      </c>
      <c r="D1" s="13" t="s">
        <v>69</v>
      </c>
      <c r="E1" s="13" t="s">
        <v>70</v>
      </c>
    </row>
    <row r="2" customFormat="false" ht="15.75" hidden="false" customHeight="true" outlineLevel="0" collapsed="false">
      <c r="A2" s="15" t="n">
        <f aca="false">SUM('liste des taches'!G2:G329)</f>
        <v>313</v>
      </c>
      <c r="B2" s="15" t="n">
        <f aca="false">SUM('liste des taches'!H2:H329)</f>
        <v>0</v>
      </c>
      <c r="C2" s="15" t="n">
        <f aca="false">SUM('liste des taches'!I2:I329)</f>
        <v>313</v>
      </c>
      <c r="D2" s="16" t="n">
        <f aca="false">(B2/(B2+C2))</f>
        <v>0</v>
      </c>
      <c r="E2" s="19" t="n">
        <f aca="false">((B2+C2)-A2)/A2</f>
        <v>0</v>
      </c>
    </row>
    <row r="3" customFormat="false" ht="15.75" hidden="false" customHeight="true" outlineLevel="0" collapsed="false">
      <c r="C3" s="15" t="n">
        <f aca="false">C2/60</f>
        <v>5.21666666666667</v>
      </c>
      <c r="D3" s="15" t="s">
        <v>71</v>
      </c>
    </row>
    <row r="4" customFormat="false" ht="15.75" hidden="false" customHeight="true" outlineLevel="0" collapsed="false"/>
    <row r="5" customFormat="false" ht="15.75" hidden="false" customHeight="true" outlineLevel="0" collapsed="false"/>
    <row r="6" customFormat="false" ht="15.75" hidden="false" customHeight="true" outlineLevel="0" collapsed="false"/>
    <row r="7" customFormat="false" ht="15.75" hidden="false" customHeight="true" outlineLevel="0" collapsed="false"/>
    <row r="8" customFormat="false" ht="15.75" hidden="false" customHeight="true" outlineLevel="0" collapsed="false"/>
    <row r="9" customFormat="false" ht="15.75" hidden="false" customHeight="true" outlineLevel="0" collapsed="false"/>
    <row r="10" customFormat="false" ht="15.75" hidden="false" customHeight="true" outlineLevel="0" collapsed="false"/>
    <row r="11" customFormat="false" ht="15.75" hidden="false" customHeight="true" outlineLevel="0" collapsed="false"/>
    <row r="12" customFormat="false" ht="15.75" hidden="false" customHeight="true" outlineLevel="0" collapsed="false"/>
    <row r="13" customFormat="false" ht="15.75" hidden="false" customHeight="true" outlineLevel="0" collapsed="false"/>
    <row r="14" customFormat="false" ht="15.75" hidden="false" customHeight="true" outlineLevel="0" collapsed="false"/>
    <row r="15" customFormat="false" ht="15.75" hidden="false" customHeight="true" outlineLevel="0" collapsed="false"/>
    <row r="16" customFormat="false" ht="15.75" hidden="false" customHeight="true" outlineLevel="0" collapsed="false"/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00"/>
  <sheetViews>
    <sheetView showFormulas="false" showGridLines="true" showRowColHeaders="true" showZeros="true" rightToLeft="false" tabSelected="false" showOutlineSymbols="true" defaultGridColor="true" view="normal" topLeftCell="A1" colorId="64" zoomScale="119" zoomScaleNormal="119" zoomScalePageLayoutView="100" workbookViewId="0">
      <selection pane="topLeft" activeCell="A1" activeCellId="0" sqref="A1"/>
    </sheetView>
  </sheetViews>
  <sheetFormatPr defaultColWidth="11.21875" defaultRowHeight="15" zeroHeight="false" outlineLevelRow="0" outlineLevelCol="0"/>
  <cols>
    <col collapsed="false" customWidth="true" hidden="false" outlineLevel="0" max="28" min="1" style="0" width="10.56"/>
  </cols>
  <sheetData>
    <row r="1" customFormat="false" ht="15.75" hidden="false" customHeight="true" outlineLevel="0" collapsed="false">
      <c r="A1" s="12" t="s">
        <v>6</v>
      </c>
      <c r="B1" s="1" t="s">
        <v>72</v>
      </c>
      <c r="C1" s="20" t="n">
        <v>46048</v>
      </c>
      <c r="D1" s="20" t="n">
        <v>46049</v>
      </c>
      <c r="E1" s="20" t="n">
        <v>46050</v>
      </c>
    </row>
    <row r="2" customFormat="false" ht="15.75" hidden="false" customHeight="true" outlineLevel="0" collapsed="false">
      <c r="A2" s="14" t="n">
        <v>1</v>
      </c>
      <c r="B2" s="15" t="n">
        <f aca="false">SUM(D2:P2)</f>
        <v>20</v>
      </c>
      <c r="C2" s="14"/>
      <c r="D2" s="14" t="n">
        <v>20</v>
      </c>
    </row>
    <row r="3" customFormat="false" ht="15.75" hidden="false" customHeight="true" outlineLevel="0" collapsed="false">
      <c r="A3" s="14" t="n">
        <v>2</v>
      </c>
      <c r="B3" s="15" t="n">
        <f aca="false">SUM(D3:P3)</f>
        <v>0</v>
      </c>
    </row>
    <row r="4" customFormat="false" ht="15.75" hidden="false" customHeight="true" outlineLevel="0" collapsed="false">
      <c r="A4" s="14" t="n">
        <v>3</v>
      </c>
      <c r="B4" s="15" t="n">
        <f aca="false">SUM(D4:P4)</f>
        <v>10</v>
      </c>
      <c r="C4" s="14" t="n">
        <v>20</v>
      </c>
      <c r="D4" s="14" t="n">
        <v>10</v>
      </c>
    </row>
    <row r="5" customFormat="false" ht="15.75" hidden="false" customHeight="true" outlineLevel="0" collapsed="false">
      <c r="A5" s="14" t="n">
        <v>4</v>
      </c>
      <c r="B5" s="15" t="n">
        <f aca="false">SUM(D5:P5)</f>
        <v>0</v>
      </c>
    </row>
    <row r="6" customFormat="false" ht="15.75" hidden="false" customHeight="true" outlineLevel="0" collapsed="false">
      <c r="A6" s="14" t="n">
        <v>5</v>
      </c>
      <c r="B6" s="15" t="n">
        <f aca="false">SUM(D6:P6)</f>
        <v>0</v>
      </c>
    </row>
    <row r="7" customFormat="false" ht="15.75" hidden="false" customHeight="true" outlineLevel="0" collapsed="false">
      <c r="A7" s="14" t="n">
        <v>6</v>
      </c>
      <c r="B7" s="15" t="n">
        <f aca="false">SUM(D7:P7)</f>
        <v>0</v>
      </c>
    </row>
    <row r="8" customFormat="false" ht="15.75" hidden="false" customHeight="true" outlineLevel="0" collapsed="false">
      <c r="A8" s="14" t="n">
        <v>7</v>
      </c>
      <c r="B8" s="15" t="n">
        <f aca="false">SUM(D8:P8)</f>
        <v>0</v>
      </c>
    </row>
    <row r="9" customFormat="false" ht="15.75" hidden="false" customHeight="true" outlineLevel="0" collapsed="false"/>
    <row r="10" customFormat="false" ht="15.75" hidden="false" customHeight="true" outlineLevel="0" collapsed="false"/>
    <row r="11" customFormat="false" ht="15.75" hidden="false" customHeight="true" outlineLevel="0" collapsed="false"/>
    <row r="12" customFormat="false" ht="15.75" hidden="false" customHeight="true" outlineLevel="0" collapsed="false"/>
    <row r="13" customFormat="false" ht="15.75" hidden="false" customHeight="true" outlineLevel="0" collapsed="false"/>
    <row r="14" customFormat="false" ht="15.75" hidden="false" customHeight="true" outlineLevel="0" collapsed="false"/>
    <row r="15" customFormat="false" ht="15.75" hidden="false" customHeight="true" outlineLevel="0" collapsed="false"/>
    <row r="16" customFormat="false" ht="15.75" hidden="false" customHeight="true" outlineLevel="0" collapsed="false"/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2026-01-08T08:10:07Z</dcterms:created>
  <dc:creator>Rojo Raben</dc:creator>
  <dc:description/>
  <dc:language>fr-FR</dc:language>
  <cp:lastModifiedBy/>
  <dcterms:modified xsi:type="dcterms:W3CDTF">2026-02-16T14:51:47Z</dcterms:modified>
  <cp:revision>12</cp:revision>
  <dc:subject/>
  <dc:title/>
</cp:coreProperties>
</file>